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uario\Documents\2 - ACADEMICOS\1 - FCEFyN - Ing Milanesio\4to\4 - Sintesis de Redes Activas\5 - Laboratorios\1 - Milanesio Sergio Martin\Lab1\2 - Calculos\"/>
    </mc:Choice>
  </mc:AlternateContent>
  <xr:revisionPtr revIDLastSave="0" documentId="13_ncr:1_{C8578C24-AF17-4DF1-980D-5FE66AA2E4B1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(Simulado_en Seña)Lab1_Cir2" sheetId="3" r:id="rId1"/>
    <sheet name="(Calculado)Lab1_Cir2 (2)" sheetId="2" r:id="rId2"/>
    <sheet name="(Simulado_en CC)Lab1_Cir2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C19" i="2" s="1"/>
  <c r="E19" i="2"/>
  <c r="D19" i="2"/>
  <c r="E15" i="2"/>
  <c r="H11" i="2"/>
  <c r="E7" i="2"/>
  <c r="D7" i="2"/>
  <c r="D15" i="2" s="1"/>
  <c r="C5" i="2"/>
  <c r="C13" i="2" s="1"/>
  <c r="E4" i="2"/>
  <c r="E12" i="2" s="1"/>
  <c r="H2" i="2"/>
  <c r="C7" i="2" s="1"/>
  <c r="C15" i="2" s="1"/>
  <c r="D5" i="2" l="1"/>
  <c r="D13" i="2" s="1"/>
  <c r="C3" i="2"/>
  <c r="E5" i="2"/>
  <c r="E13" i="2" s="1"/>
  <c r="C6" i="2"/>
  <c r="C14" i="2" s="1"/>
  <c r="E3" i="2"/>
  <c r="D6" i="2"/>
  <c r="D14" i="2" s="1"/>
  <c r="C4" i="2"/>
  <c r="C12" i="2" s="1"/>
  <c r="E6" i="2"/>
  <c r="E14" i="2" s="1"/>
  <c r="D4" i="2"/>
  <c r="D12" i="2" s="1"/>
  <c r="D3" i="2"/>
</calcChain>
</file>

<file path=xl/sharedStrings.xml><?xml version="1.0" encoding="utf-8"?>
<sst xmlns="http://schemas.openxmlformats.org/spreadsheetml/2006/main" count="41" uniqueCount="14">
  <si>
    <t>Vin</t>
  </si>
  <si>
    <t>RL [kohm]</t>
  </si>
  <si>
    <t>Vo [v]</t>
  </si>
  <si>
    <t>Constante para IRL</t>
  </si>
  <si>
    <t>I_RL [mA]</t>
  </si>
  <si>
    <t>-</t>
  </si>
  <si>
    <t>Constante para Vo</t>
  </si>
  <si>
    <t>RL_max</t>
  </si>
  <si>
    <t>Constante para RL_max</t>
  </si>
  <si>
    <t>CALCULADO</t>
  </si>
  <si>
    <t>Vin_(en continua)</t>
  </si>
  <si>
    <t>I_RL [uA]</t>
  </si>
  <si>
    <t>Vo [V]</t>
  </si>
  <si>
    <t>SIMULADO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</si>
</sst>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3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7" fontId="0" fillId="0" borderId="18" xfId="0" applyNumberFormat="1" applyBorder="1" applyAlignment="1">
      <alignment horizontal="center" vertical="center"/>
    </xf>
    <xf numFmtId="167" fontId="0" fillId="0" borderId="19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164" fontId="0" fillId="0" borderId="2" xfId="0" applyNumberFormat="1" applyBorder="1"/>
    <xf numFmtId="2" fontId="0" fillId="0" borderId="2" xfId="0" applyNumberForma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7" fontId="0" fillId="0" borderId="11" xfId="0" applyNumberFormat="1" applyFill="1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7" fontId="0" fillId="0" borderId="17" xfId="0" applyNumberFormat="1" applyFill="1" applyBorder="1" applyAlignment="1">
      <alignment horizontal="center" vertical="center"/>
    </xf>
    <xf numFmtId="167" fontId="0" fillId="6" borderId="7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212D-C5DA-42FF-8EAD-D86B03233EF0}">
  <dimension ref="A1:F19"/>
  <sheetViews>
    <sheetView showGridLines="0" tabSelected="1" zoomScale="115" zoomScaleNormal="115" workbookViewId="0">
      <selection activeCell="A18" sqref="A18:B19"/>
    </sheetView>
  </sheetViews>
  <sheetFormatPr baseColWidth="10" defaultColWidth="8.88671875" defaultRowHeight="14.4" x14ac:dyDescent="0.3"/>
  <cols>
    <col min="2" max="2" width="9.21875" bestFit="1" customWidth="1"/>
    <col min="3" max="3" width="9.33203125" bestFit="1" customWidth="1"/>
    <col min="4" max="5" width="10.44140625" bestFit="1" customWidth="1"/>
  </cols>
  <sheetData>
    <row r="1" spans="1:6" x14ac:dyDescent="0.3">
      <c r="A1" s="27" t="s">
        <v>13</v>
      </c>
      <c r="B1" s="28"/>
      <c r="C1" s="3" t="s">
        <v>0</v>
      </c>
      <c r="D1" s="4"/>
      <c r="E1" s="5"/>
    </row>
    <row r="2" spans="1:6" ht="15" thickBot="1" x14ac:dyDescent="0.35">
      <c r="A2" s="29"/>
      <c r="B2" s="30"/>
      <c r="C2" s="16">
        <v>0.5</v>
      </c>
      <c r="D2" s="17">
        <v>-1</v>
      </c>
      <c r="E2" s="18">
        <v>2</v>
      </c>
    </row>
    <row r="3" spans="1:6" x14ac:dyDescent="0.3">
      <c r="A3" s="7" t="s">
        <v>1</v>
      </c>
      <c r="B3" s="8">
        <v>0</v>
      </c>
      <c r="C3" s="32"/>
      <c r="D3" s="32"/>
      <c r="E3" s="9"/>
      <c r="F3" s="10" t="s">
        <v>12</v>
      </c>
    </row>
    <row r="4" spans="1:6" x14ac:dyDescent="0.3">
      <c r="A4" s="11"/>
      <c r="B4" s="1">
        <v>1</v>
      </c>
      <c r="C4" s="33">
        <v>0.54271970999999997</v>
      </c>
      <c r="D4" s="33">
        <v>-1.0937877</v>
      </c>
      <c r="E4" s="33">
        <v>2.1850798999999999</v>
      </c>
      <c r="F4" s="12"/>
    </row>
    <row r="5" spans="1:6" x14ac:dyDescent="0.3">
      <c r="A5" s="11"/>
      <c r="B5" s="1">
        <v>2</v>
      </c>
      <c r="C5" s="33">
        <v>1.0857344</v>
      </c>
      <c r="D5" s="33">
        <v>-2.1885127</v>
      </c>
      <c r="E5" s="33">
        <v>4.3558867000000001</v>
      </c>
      <c r="F5" s="12"/>
    </row>
    <row r="6" spans="1:6" x14ac:dyDescent="0.3">
      <c r="A6" s="11"/>
      <c r="B6" s="1">
        <v>5</v>
      </c>
      <c r="C6" s="33">
        <v>2.7072067999999998</v>
      </c>
      <c r="D6" s="33">
        <v>-5.4376258000000002</v>
      </c>
      <c r="E6" s="37">
        <v>8.4750204</v>
      </c>
      <c r="F6" s="12"/>
    </row>
    <row r="7" spans="1:6" ht="15" thickBot="1" x14ac:dyDescent="0.35">
      <c r="A7" s="13"/>
      <c r="B7" s="14">
        <v>10</v>
      </c>
      <c r="C7" s="34">
        <v>5.3502418</v>
      </c>
      <c r="D7" s="36">
        <v>-9.9349901999999997</v>
      </c>
      <c r="E7" s="36">
        <v>8.4921637000000008</v>
      </c>
      <c r="F7" s="15"/>
    </row>
    <row r="8" spans="1:6" ht="15" thickBot="1" x14ac:dyDescent="0.35"/>
    <row r="9" spans="1:6" x14ac:dyDescent="0.3">
      <c r="A9" s="27" t="s">
        <v>13</v>
      </c>
      <c r="B9" s="28"/>
      <c r="C9" s="3" t="s">
        <v>0</v>
      </c>
      <c r="D9" s="4"/>
      <c r="E9" s="5"/>
    </row>
    <row r="10" spans="1:6" ht="15" thickBot="1" x14ac:dyDescent="0.35">
      <c r="A10" s="29"/>
      <c r="B10" s="30"/>
      <c r="C10" s="16">
        <v>0.5</v>
      </c>
      <c r="D10" s="17">
        <v>-1</v>
      </c>
      <c r="E10" s="18">
        <v>2</v>
      </c>
    </row>
    <row r="11" spans="1:6" x14ac:dyDescent="0.3">
      <c r="A11" s="7" t="s">
        <v>1</v>
      </c>
      <c r="B11" s="8">
        <v>0</v>
      </c>
      <c r="C11" s="32"/>
      <c r="D11" s="9"/>
      <c r="E11" s="9"/>
      <c r="F11" s="10" t="s">
        <v>11</v>
      </c>
    </row>
    <row r="12" spans="1:6" x14ac:dyDescent="0.3">
      <c r="A12" s="11"/>
      <c r="B12" s="1">
        <v>1</v>
      </c>
      <c r="C12" s="33">
        <v>-493.58967999999999</v>
      </c>
      <c r="D12" s="33">
        <v>994.49584000000004</v>
      </c>
      <c r="E12" s="33">
        <v>-1986.729</v>
      </c>
      <c r="F12" s="12"/>
    </row>
    <row r="13" spans="1:6" x14ac:dyDescent="0.3">
      <c r="A13" s="11"/>
      <c r="B13" s="1">
        <v>2</v>
      </c>
      <c r="C13" s="33">
        <v>-493.88688000000002</v>
      </c>
      <c r="D13" s="33">
        <v>994.69798000000003</v>
      </c>
      <c r="E13" s="33">
        <v>-1981.35555</v>
      </c>
      <c r="F13" s="12"/>
    </row>
    <row r="14" spans="1:6" x14ac:dyDescent="0.3">
      <c r="A14" s="11"/>
      <c r="B14" s="1">
        <v>5</v>
      </c>
      <c r="C14" s="33">
        <v>-444.14366000000001</v>
      </c>
      <c r="D14" s="33">
        <v>987.02512000000002</v>
      </c>
      <c r="E14" s="33">
        <v>-1548.9691</v>
      </c>
      <c r="F14" s="12"/>
    </row>
    <row r="15" spans="1:6" ht="15" thickBot="1" x14ac:dyDescent="0.35">
      <c r="A15" s="13"/>
      <c r="B15" s="14">
        <v>10</v>
      </c>
      <c r="C15" s="34">
        <v>-486.28289999999998</v>
      </c>
      <c r="D15" s="34">
        <v>903.96567000000005</v>
      </c>
      <c r="E15" s="34">
        <v>-782.99600999999996</v>
      </c>
      <c r="F15" s="15"/>
    </row>
    <row r="16" spans="1:6" ht="15" thickBot="1" x14ac:dyDescent="0.35"/>
    <row r="17" spans="1:6" x14ac:dyDescent="0.3">
      <c r="C17" s="3" t="s">
        <v>0</v>
      </c>
      <c r="D17" s="4"/>
      <c r="E17" s="5"/>
    </row>
    <row r="18" spans="1:6" ht="15" thickBot="1" x14ac:dyDescent="0.35">
      <c r="A18" s="27" t="s">
        <v>13</v>
      </c>
      <c r="B18" s="28"/>
      <c r="C18" s="16">
        <v>0.5</v>
      </c>
      <c r="D18" s="17">
        <v>-1</v>
      </c>
      <c r="E18" s="18">
        <v>2</v>
      </c>
    </row>
    <row r="19" spans="1:6" ht="15" thickBot="1" x14ac:dyDescent="0.35">
      <c r="A19" s="29"/>
      <c r="B19" s="30"/>
      <c r="C19" s="35"/>
      <c r="D19" s="20"/>
      <c r="E19" s="21"/>
      <c r="F19" s="22" t="s">
        <v>7</v>
      </c>
    </row>
  </sheetData>
  <mergeCells count="10">
    <mergeCell ref="A11:A15"/>
    <mergeCell ref="F11:F15"/>
    <mergeCell ref="C17:E17"/>
    <mergeCell ref="A18:B19"/>
    <mergeCell ref="A1:B2"/>
    <mergeCell ref="C1:E1"/>
    <mergeCell ref="A3:A7"/>
    <mergeCell ref="F3:F7"/>
    <mergeCell ref="A9:B10"/>
    <mergeCell ref="C9:E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1C56-CF95-496D-B3FE-AD160AA9CB9D}">
  <dimension ref="A1:H19"/>
  <sheetViews>
    <sheetView showGridLines="0" zoomScale="115" zoomScaleNormal="115" workbookViewId="0">
      <selection activeCell="D16" sqref="D16"/>
    </sheetView>
  </sheetViews>
  <sheetFormatPr baseColWidth="10" defaultColWidth="8.88671875" defaultRowHeight="14.4" x14ac:dyDescent="0.3"/>
  <cols>
    <col min="2" max="2" width="9.21875" bestFit="1" customWidth="1"/>
    <col min="8" max="8" width="17.109375" bestFit="1" customWidth="1"/>
  </cols>
  <sheetData>
    <row r="1" spans="1:8" ht="15" thickBot="1" x14ac:dyDescent="0.35">
      <c r="A1" s="27" t="s">
        <v>9</v>
      </c>
      <c r="B1" s="28"/>
      <c r="C1" s="3" t="s">
        <v>0</v>
      </c>
      <c r="D1" s="4"/>
      <c r="E1" s="5"/>
      <c r="H1" s="25" t="s">
        <v>6</v>
      </c>
    </row>
    <row r="2" spans="1:8" ht="15" thickBot="1" x14ac:dyDescent="0.35">
      <c r="A2" s="29"/>
      <c r="B2" s="30"/>
      <c r="C2" s="16">
        <v>0.5</v>
      </c>
      <c r="D2" s="17">
        <v>-1</v>
      </c>
      <c r="E2" s="18">
        <v>2</v>
      </c>
      <c r="H2" s="24">
        <f>11/10</f>
        <v>1.1000000000000001</v>
      </c>
    </row>
    <row r="3" spans="1:8" x14ac:dyDescent="0.3">
      <c r="A3" s="7" t="s">
        <v>1</v>
      </c>
      <c r="B3" s="8">
        <v>0</v>
      </c>
      <c r="C3" s="9">
        <f>$H$2*B3*$C$2</f>
        <v>0</v>
      </c>
      <c r="D3" s="9">
        <f ca="1">D3</f>
        <v>0</v>
      </c>
      <c r="E3" s="9">
        <f>$H$2*B3*$E$2</f>
        <v>0</v>
      </c>
      <c r="F3" s="10" t="s">
        <v>2</v>
      </c>
    </row>
    <row r="4" spans="1:8" x14ac:dyDescent="0.3">
      <c r="A4" s="11"/>
      <c r="B4" s="1">
        <v>1</v>
      </c>
      <c r="C4" s="2">
        <f>$H$2*B4*$C$2</f>
        <v>0.55000000000000004</v>
      </c>
      <c r="D4" s="2">
        <f>$H$2*B4*$D$2</f>
        <v>-1.1000000000000001</v>
      </c>
      <c r="E4" s="2">
        <f>$H$2*B4*$E$2</f>
        <v>2.2000000000000002</v>
      </c>
      <c r="F4" s="12"/>
    </row>
    <row r="5" spans="1:8" x14ac:dyDescent="0.3">
      <c r="A5" s="11"/>
      <c r="B5" s="1">
        <v>2</v>
      </c>
      <c r="C5" s="2">
        <f>$H$2*B5*$C$2</f>
        <v>1.1000000000000001</v>
      </c>
      <c r="D5" s="2">
        <f>$H$2*B5*$D$2</f>
        <v>-2.2000000000000002</v>
      </c>
      <c r="E5" s="2">
        <f>$H$2*B5*$E$2</f>
        <v>4.4000000000000004</v>
      </c>
      <c r="F5" s="12"/>
    </row>
    <row r="6" spans="1:8" x14ac:dyDescent="0.3">
      <c r="A6" s="11"/>
      <c r="B6" s="1">
        <v>5</v>
      </c>
      <c r="C6" s="2">
        <f>$H$2*B6*$C$2</f>
        <v>2.75</v>
      </c>
      <c r="D6" s="2">
        <f>$H$2*B6*$D$2</f>
        <v>-5.5</v>
      </c>
      <c r="E6" s="37">
        <f>$H$2*B6*$E$2</f>
        <v>11</v>
      </c>
      <c r="F6" s="12"/>
    </row>
    <row r="7" spans="1:8" ht="15" thickBot="1" x14ac:dyDescent="0.35">
      <c r="A7" s="13"/>
      <c r="B7" s="14">
        <v>10</v>
      </c>
      <c r="C7" s="6">
        <f>$H$2*B7*$C$2</f>
        <v>5.5</v>
      </c>
      <c r="D7" s="36">
        <f>$H$2*B7*$D$2</f>
        <v>-11</v>
      </c>
      <c r="E7" s="36">
        <f>$H$2*B7*$E$2</f>
        <v>22</v>
      </c>
      <c r="F7" s="15"/>
    </row>
    <row r="8" spans="1:8" ht="15" thickBot="1" x14ac:dyDescent="0.35"/>
    <row r="9" spans="1:8" ht="15" thickBot="1" x14ac:dyDescent="0.35">
      <c r="A9" s="27" t="s">
        <v>9</v>
      </c>
      <c r="B9" s="28"/>
      <c r="C9" s="3" t="s">
        <v>0</v>
      </c>
      <c r="D9" s="4"/>
      <c r="E9" s="5"/>
    </row>
    <row r="10" spans="1:8" ht="15" thickBot="1" x14ac:dyDescent="0.35">
      <c r="A10" s="29"/>
      <c r="B10" s="30"/>
      <c r="C10" s="16">
        <v>0.5</v>
      </c>
      <c r="D10" s="17">
        <v>-1</v>
      </c>
      <c r="E10" s="18">
        <v>2</v>
      </c>
      <c r="H10" s="25" t="s">
        <v>3</v>
      </c>
    </row>
    <row r="11" spans="1:8" ht="15" thickBot="1" x14ac:dyDescent="0.35">
      <c r="A11" s="7" t="s">
        <v>1</v>
      </c>
      <c r="B11" s="8">
        <v>0</v>
      </c>
      <c r="C11" s="9" t="s">
        <v>5</v>
      </c>
      <c r="D11" s="9" t="s">
        <v>5</v>
      </c>
      <c r="E11" s="9" t="s">
        <v>5</v>
      </c>
      <c r="F11" s="10" t="s">
        <v>4</v>
      </c>
      <c r="H11" s="23">
        <f>100/(110)</f>
        <v>0.90909090909090906</v>
      </c>
    </row>
    <row r="12" spans="1:8" x14ac:dyDescent="0.3">
      <c r="A12" s="11"/>
      <c r="B12" s="1">
        <v>1</v>
      </c>
      <c r="C12" s="2">
        <f>C4*$H$11/$B12</f>
        <v>0.5</v>
      </c>
      <c r="D12" s="2">
        <f t="shared" ref="C12:F15" si="0">D4*$H$11/$B12</f>
        <v>-1</v>
      </c>
      <c r="E12" s="2">
        <f t="shared" si="0"/>
        <v>2</v>
      </c>
      <c r="F12" s="12"/>
    </row>
    <row r="13" spans="1:8" x14ac:dyDescent="0.3">
      <c r="A13" s="11"/>
      <c r="B13" s="1">
        <v>2</v>
      </c>
      <c r="C13" s="2">
        <f t="shared" si="0"/>
        <v>0.5</v>
      </c>
      <c r="D13" s="2">
        <f t="shared" si="0"/>
        <v>-1</v>
      </c>
      <c r="E13" s="2">
        <f t="shared" si="0"/>
        <v>2</v>
      </c>
      <c r="F13" s="12"/>
    </row>
    <row r="14" spans="1:8" x14ac:dyDescent="0.3">
      <c r="A14" s="11"/>
      <c r="B14" s="1">
        <v>5</v>
      </c>
      <c r="C14" s="2">
        <f t="shared" si="0"/>
        <v>0.5</v>
      </c>
      <c r="D14" s="2">
        <f t="shared" si="0"/>
        <v>-1</v>
      </c>
      <c r="E14" s="2">
        <f t="shared" si="0"/>
        <v>2</v>
      </c>
      <c r="F14" s="12"/>
    </row>
    <row r="15" spans="1:8" ht="15" thickBot="1" x14ac:dyDescent="0.35">
      <c r="A15" s="13"/>
      <c r="B15" s="14">
        <v>10</v>
      </c>
      <c r="C15" s="6">
        <f t="shared" si="0"/>
        <v>0.5</v>
      </c>
      <c r="D15" s="6">
        <f t="shared" si="0"/>
        <v>-1</v>
      </c>
      <c r="E15" s="6">
        <f t="shared" si="0"/>
        <v>2</v>
      </c>
      <c r="F15" s="15"/>
    </row>
    <row r="16" spans="1:8" ht="15" thickBot="1" x14ac:dyDescent="0.35"/>
    <row r="17" spans="1:8" ht="15" thickBot="1" x14ac:dyDescent="0.35">
      <c r="C17" s="3" t="s">
        <v>0</v>
      </c>
      <c r="D17" s="4"/>
      <c r="E17" s="5"/>
    </row>
    <row r="18" spans="1:8" ht="29.4" thickBot="1" x14ac:dyDescent="0.35">
      <c r="A18" s="27" t="s">
        <v>9</v>
      </c>
      <c r="B18" s="28"/>
      <c r="C18" s="16">
        <v>0.5</v>
      </c>
      <c r="D18" s="17">
        <v>-1</v>
      </c>
      <c r="E18" s="18">
        <v>2</v>
      </c>
      <c r="H18" s="26" t="s">
        <v>8</v>
      </c>
    </row>
    <row r="19" spans="1:8" ht="15" thickBot="1" x14ac:dyDescent="0.35">
      <c r="A19" s="29"/>
      <c r="B19" s="30"/>
      <c r="C19" s="19">
        <f>$H$19/$C$18</f>
        <v>18.181818181818183</v>
      </c>
      <c r="D19" s="20">
        <f>$H$19/$D$18</f>
        <v>-9.0909090909090917</v>
      </c>
      <c r="E19" s="21">
        <f>$H$19/$E$18</f>
        <v>4.5454545454545459</v>
      </c>
      <c r="F19" s="22" t="s">
        <v>7</v>
      </c>
      <c r="H19" s="23">
        <f>100/(11)</f>
        <v>9.0909090909090917</v>
      </c>
    </row>
  </sheetData>
  <mergeCells count="10">
    <mergeCell ref="A11:A15"/>
    <mergeCell ref="F11:F15"/>
    <mergeCell ref="C17:E17"/>
    <mergeCell ref="A18:B19"/>
    <mergeCell ref="A1:B2"/>
    <mergeCell ref="C1:E1"/>
    <mergeCell ref="A3:A7"/>
    <mergeCell ref="F3:F7"/>
    <mergeCell ref="A9:B10"/>
    <mergeCell ref="C9:E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zoomScale="115" zoomScaleNormal="115" workbookViewId="0">
      <selection activeCell="C4" sqref="C4"/>
    </sheetView>
  </sheetViews>
  <sheetFormatPr baseColWidth="10" defaultColWidth="8.88671875" defaultRowHeight="14.4" x14ac:dyDescent="0.3"/>
  <cols>
    <col min="2" max="2" width="9.21875" bestFit="1" customWidth="1"/>
    <col min="3" max="3" width="9.33203125" bestFit="1" customWidth="1"/>
    <col min="4" max="5" width="10.44140625" bestFit="1" customWidth="1"/>
  </cols>
  <sheetData>
    <row r="1" spans="1:6" x14ac:dyDescent="0.3">
      <c r="A1" s="27" t="s">
        <v>9</v>
      </c>
      <c r="B1" s="28"/>
      <c r="C1" s="3" t="s">
        <v>10</v>
      </c>
      <c r="D1" s="4"/>
      <c r="E1" s="5"/>
    </row>
    <row r="2" spans="1:6" ht="15" thickBot="1" x14ac:dyDescent="0.35">
      <c r="A2" s="29"/>
      <c r="B2" s="30"/>
      <c r="C2" s="16">
        <v>0.5</v>
      </c>
      <c r="D2" s="17">
        <v>-1</v>
      </c>
      <c r="E2" s="18">
        <v>2</v>
      </c>
    </row>
    <row r="3" spans="1:6" x14ac:dyDescent="0.3">
      <c r="A3" s="7" t="s">
        <v>1</v>
      </c>
      <c r="B3" s="8">
        <v>0</v>
      </c>
      <c r="C3" s="32">
        <v>0</v>
      </c>
      <c r="D3" s="9">
        <v>0</v>
      </c>
      <c r="E3" s="9">
        <v>0</v>
      </c>
      <c r="F3" s="10" t="s">
        <v>12</v>
      </c>
    </row>
    <row r="4" spans="1:6" x14ac:dyDescent="0.3">
      <c r="A4" s="11"/>
      <c r="B4" s="1">
        <v>1</v>
      </c>
      <c r="C4" s="33">
        <v>0.54669999999999996</v>
      </c>
      <c r="D4" s="33">
        <v>-1.01922</v>
      </c>
      <c r="E4" s="31">
        <v>2.1953877999999998</v>
      </c>
      <c r="F4" s="12"/>
    </row>
    <row r="5" spans="1:6" x14ac:dyDescent="0.3">
      <c r="A5" s="11"/>
      <c r="B5" s="1">
        <v>2</v>
      </c>
      <c r="C5" s="33">
        <v>1.0928899999999999</v>
      </c>
      <c r="D5" s="33">
        <v>-2.2019848999999998</v>
      </c>
      <c r="E5" s="33">
        <v>4.3876761999999996</v>
      </c>
      <c r="F5" s="12"/>
    </row>
    <row r="6" spans="1:6" x14ac:dyDescent="0.3">
      <c r="A6" s="11"/>
      <c r="B6" s="1">
        <v>5</v>
      </c>
      <c r="C6" s="33">
        <v>2.7264390000000001</v>
      </c>
      <c r="D6" s="33">
        <v>-5.4926247999999998</v>
      </c>
      <c r="E6" s="33">
        <v>8.4754362000000008</v>
      </c>
      <c r="F6" s="12"/>
    </row>
    <row r="7" spans="1:6" ht="15" thickBot="1" x14ac:dyDescent="0.35">
      <c r="A7" s="13"/>
      <c r="B7" s="14">
        <v>10</v>
      </c>
      <c r="C7" s="34">
        <v>5.4324355000000004</v>
      </c>
      <c r="D7" s="34">
        <v>-9.9375750000000007</v>
      </c>
      <c r="E7" s="34">
        <v>8.4922152000000004</v>
      </c>
      <c r="F7" s="15"/>
    </row>
    <row r="8" spans="1:6" ht="15" thickBot="1" x14ac:dyDescent="0.35"/>
    <row r="9" spans="1:6" x14ac:dyDescent="0.3">
      <c r="A9" s="27" t="s">
        <v>9</v>
      </c>
      <c r="B9" s="28"/>
      <c r="C9" s="3" t="s">
        <v>0</v>
      </c>
      <c r="D9" s="4"/>
      <c r="E9" s="5"/>
    </row>
    <row r="10" spans="1:6" ht="15" thickBot="1" x14ac:dyDescent="0.35">
      <c r="A10" s="29"/>
      <c r="B10" s="30"/>
      <c r="C10" s="16">
        <v>0.5</v>
      </c>
      <c r="D10" s="17">
        <v>-1</v>
      </c>
      <c r="E10" s="18">
        <v>2</v>
      </c>
    </row>
    <row r="11" spans="1:6" x14ac:dyDescent="0.3">
      <c r="A11" s="7" t="s">
        <v>1</v>
      </c>
      <c r="B11" s="8">
        <v>0</v>
      </c>
      <c r="C11" s="32" t="s">
        <v>5</v>
      </c>
      <c r="D11" s="9" t="s">
        <v>5</v>
      </c>
      <c r="E11" s="9"/>
      <c r="F11" s="10" t="s">
        <v>11</v>
      </c>
    </row>
    <row r="12" spans="1:6" x14ac:dyDescent="0.3">
      <c r="A12" s="11"/>
      <c r="B12" s="1">
        <v>1</v>
      </c>
      <c r="C12" s="33">
        <v>-497.28464000000002</v>
      </c>
      <c r="D12" s="33">
        <v>-1001.6002</v>
      </c>
      <c r="E12" s="31">
        <v>1996.1582000000001</v>
      </c>
      <c r="F12" s="12"/>
    </row>
    <row r="13" spans="1:6" x14ac:dyDescent="0.3">
      <c r="A13" s="11"/>
      <c r="B13" s="1">
        <v>2</v>
      </c>
      <c r="C13" s="33">
        <v>-496.91275000000002</v>
      </c>
      <c r="D13" s="33">
        <v>-1000.8621000000001</v>
      </c>
      <c r="E13" s="33">
        <v>1994.6429000000001</v>
      </c>
      <c r="F13" s="12"/>
    </row>
    <row r="14" spans="1:6" x14ac:dyDescent="0.3">
      <c r="A14" s="11"/>
      <c r="B14" s="1">
        <v>5</v>
      </c>
      <c r="C14" s="33">
        <v>-495.79300999999998</v>
      </c>
      <c r="D14" s="33">
        <v>-998.68258000000003</v>
      </c>
      <c r="E14" s="33">
        <v>1549.1851999999999</v>
      </c>
      <c r="F14" s="12"/>
    </row>
    <row r="15" spans="1:6" ht="15" thickBot="1" x14ac:dyDescent="0.35">
      <c r="A15" s="13"/>
      <c r="B15" s="14">
        <v>10</v>
      </c>
      <c r="C15" s="34">
        <v>-497.28464000000002</v>
      </c>
      <c r="D15" s="34">
        <v>-904.28587000000005</v>
      </c>
      <c r="E15" s="34">
        <v>783.08250999999996</v>
      </c>
      <c r="F15" s="15"/>
    </row>
    <row r="16" spans="1:6" ht="15" thickBot="1" x14ac:dyDescent="0.35"/>
    <row r="17" spans="1:6" x14ac:dyDescent="0.3">
      <c r="C17" s="3" t="s">
        <v>0</v>
      </c>
      <c r="D17" s="4"/>
      <c r="E17" s="5"/>
    </row>
    <row r="18" spans="1:6" ht="15" thickBot="1" x14ac:dyDescent="0.35">
      <c r="A18" s="27" t="s">
        <v>9</v>
      </c>
      <c r="B18" s="28"/>
      <c r="C18" s="16">
        <v>0.5</v>
      </c>
      <c r="D18" s="17">
        <v>-1</v>
      </c>
      <c r="E18" s="18">
        <v>2</v>
      </c>
    </row>
    <row r="19" spans="1:6" ht="15" thickBot="1" x14ac:dyDescent="0.35">
      <c r="A19" s="29"/>
      <c r="B19" s="30"/>
      <c r="C19" s="35"/>
      <c r="D19" s="20"/>
      <c r="E19" s="21"/>
      <c r="F19" s="22" t="s">
        <v>7</v>
      </c>
    </row>
  </sheetData>
  <mergeCells count="10">
    <mergeCell ref="A18:B19"/>
    <mergeCell ref="C17:E17"/>
    <mergeCell ref="A1:B2"/>
    <mergeCell ref="A9:B10"/>
    <mergeCell ref="C1:E1"/>
    <mergeCell ref="A3:A7"/>
    <mergeCell ref="F3:F7"/>
    <mergeCell ref="C9:E9"/>
    <mergeCell ref="A11:A15"/>
    <mergeCell ref="F11:F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(Simulado_en Seña)Lab1_Cir2</vt:lpstr>
      <vt:lpstr>(Calculado)Lab1_Cir2 (2)</vt:lpstr>
      <vt:lpstr>(Simulado_en CC)Lab1_Cir2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2026-02-05T18:03:26Z</dcterms:modified>
</cp:coreProperties>
</file>